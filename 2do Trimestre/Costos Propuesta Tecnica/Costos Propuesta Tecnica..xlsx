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air Ramos\Desktop\"/>
    </mc:Choice>
  </mc:AlternateContent>
  <xr:revisionPtr revIDLastSave="0" documentId="8_{97D74440-C53E-4CA7-AC12-0CA2D31B3C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rvidor local" sheetId="1" r:id="rId1"/>
    <sheet name="servidr externo-cloud" sheetId="2" r:id="rId2"/>
    <sheet name="elementos fisicos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  <c r="O6" i="2"/>
  <c r="I5" i="2"/>
  <c r="O12" i="1"/>
  <c r="N12" i="1"/>
  <c r="U11" i="1"/>
  <c r="AF6" i="1"/>
  <c r="AA6" i="1"/>
  <c r="Z6" i="1"/>
</calcChain>
</file>

<file path=xl/sharedStrings.xml><?xml version="1.0" encoding="utf-8"?>
<sst xmlns="http://schemas.openxmlformats.org/spreadsheetml/2006/main" count="341" uniqueCount="181">
  <si>
    <t>Recurso</t>
  </si>
  <si>
    <t>Rol</t>
  </si>
  <si>
    <t>Costo unitario (h)</t>
  </si>
  <si>
    <t>Explicación</t>
  </si>
  <si>
    <t>recurso</t>
  </si>
  <si>
    <t>rol</t>
  </si>
  <si>
    <t>costo unitario</t>
  </si>
  <si>
    <t>explicacion</t>
  </si>
  <si>
    <t>Diseñador UI/UX</t>
  </si>
  <si>
    <t>Crea wireframes, prototipos y diseño visual</t>
  </si>
  <si>
    <t>1.400.000x250</t>
  </si>
  <si>
    <t>Define experiencia visual del e-commerce</t>
  </si>
  <si>
    <t xml:space="preserve">Sistema operativo Linux  </t>
  </si>
  <si>
    <t>Servir como base del servidor para ejecutar servicios y aplicaciones.</t>
  </si>
  <si>
    <t xml:space="preserve"> $</t>
  </si>
  <si>
    <t xml:space="preserve"> Sistema operativo gratuito y seguro usado para servidores.</t>
  </si>
  <si>
    <t>Servidor físico (Rack o Torre)</t>
  </si>
  <si>
    <t>Ejecuta+P2:P7r los servicios, sistemas y aplicaciones principales.</t>
  </si>
  <si>
    <t>Equipo diseñado para alojar aplicaciones, bases de datos o servicios críticos. Ofrece alta capacidad de procesamiento, almacenamiento y seguridad. Puede instalarse en un rack o funcionar como torre independiente.</t>
  </si>
  <si>
    <t>Instalación servidor físico</t>
  </si>
  <si>
    <t>Técnico de infraestructura /                Técnico de hardware</t>
  </si>
  <si>
    <t>Consiste en montar el servidor, conectarlo correctamente y verificar que el hardware funcione sin problemas.</t>
  </si>
  <si>
    <t>Consumo energético año</t>
  </si>
  <si>
    <t>El Administrador de infraestructura supervisa el uso de energía del servidor y se asegura de que funcione de manera eficiente sin generar consumos excesivos.</t>
  </si>
  <si>
    <t xml:space="preserve"> </t>
  </si>
  <si>
    <t xml:space="preserve">análisis del proyecto </t>
  </si>
  <si>
    <t>Front-End</t>
  </si>
  <si>
    <t>Implementa diseño, interfaces, responsive</t>
  </si>
  <si>
    <t>Interfaz interactiva y lógica en navegador</t>
  </si>
  <si>
    <t xml:space="preserve">Windows Server </t>
  </si>
  <si>
    <t>Gestionar usuarios, permisos y servicios corporativos dentro de la red.</t>
  </si>
  <si>
    <t>Sistema operativo de Microsoft para manejar usuarios, permisos y servicios de red.</t>
  </si>
  <si>
    <t>PC mesa</t>
  </si>
  <si>
    <t>Equipo de trabajo fijo para tareas administrativas o técnicas.</t>
  </si>
  <si>
    <t>Equipo de cómputo fijo para labores operativas o administrativas. Proporciona mayor estabilidad y rendimiento para tareas diarias dentro de la organización.</t>
  </si>
  <si>
    <t>Configuración de red interna</t>
  </si>
  <si>
    <t>Administrador de redes</t>
  </si>
  <si>
    <t>Se asignan direcciones IP, DNS y puertas de enlace para integrar el servidor a la red de la empresa.</t>
  </si>
  <si>
    <t>Mantenimiento preventivo anual</t>
  </si>
  <si>
    <t>El Técnico de hardware se encarga de revisar, limpiar y verificar el estado físico del servidor para evitar fallas y mantener su buen funcionamiento.</t>
  </si>
  <si>
    <t>Mockas</t>
  </si>
  <si>
    <t>Back-End</t>
  </si>
  <si>
    <t>Lógica interna, base de datos, API, pasarelas</t>
  </si>
  <si>
    <t xml:space="preserve"> 1.400.000x250</t>
  </si>
  <si>
    <t>Núcleo funcional del   e-commerce</t>
  </si>
  <si>
    <t>Servidor web Nginx</t>
  </si>
  <si>
    <t>Publicar sitios web y manejar el tráfico de usuarios.</t>
  </si>
  <si>
    <t>Programa que permite publicar páginas web y manejar alto tráfico.</t>
  </si>
  <si>
    <t xml:space="preserve">Portatiles </t>
  </si>
  <si>
    <t>Equipo de trabajo móvil para usuarios que necesitan movilidad.</t>
  </si>
  <si>
    <t>Equipos de cómputo móviles que permiten flexibilidad de trabajo. Ideales para usuarios que requieren movilidad o acceso remoto a los sistemas.</t>
  </si>
  <si>
    <t>Seguridad del servidor</t>
  </si>
  <si>
    <t>Especialista en ciberseguridad</t>
  </si>
  <si>
    <t>Incluye activar firewall, instalar antivirus, actualizar el sistema y deshabilitar servicios innecesarios para protegerlo.</t>
  </si>
  <si>
    <t>Renovación licencias software</t>
  </si>
  <si>
    <t>El Administrador de sistemas gestiona la actualización y renovación de licencias del software necesario, garantizando que todo esté legal y actualizado.</t>
  </si>
  <si>
    <t>base de datos</t>
  </si>
  <si>
    <t>QA Tester</t>
  </si>
  <si>
    <t>Pruebas funcionales, bugs, regresión</t>
  </si>
  <si>
    <t>Garantiza calidad y reduce riesgos</t>
  </si>
  <si>
    <t>Base de datos PostgreSQL</t>
  </si>
  <si>
    <t>Guardar, organizar y consultar la información del sistema.</t>
  </si>
  <si>
    <t>UPS industrial 3000 VA</t>
  </si>
  <si>
    <t>Proveer energía de respaldo y proteger los equipos ante fallos eléctricos.</t>
  </si>
  <si>
    <t>Sistema de energía ininterrumpida que protege los equipos ante apagones, picos de voltaje o fallas eléctricas. Mantiene la operación por un tiempo suficiente para evitar pérdida de datos o daños.</t>
  </si>
  <si>
    <t>RAID almacenamiento</t>
  </si>
  <si>
    <t>Administrador de servidores</t>
  </si>
  <si>
    <t>Agrupa los discos duros para mejorar la velocidad y evitar pérdida de datos mediante redundancia.</t>
  </si>
  <si>
    <t>Repuestos hardware</t>
  </si>
  <si>
    <t>El Técnico de infraestructura reemplaza piezas dañadas como discos, memorias o fuentes de poder y mantiene el servidor en óptimas condiciones físicas.</t>
  </si>
  <si>
    <t>Tiempo de desarrollo total</t>
  </si>
  <si>
    <t>Documentador técnico</t>
  </si>
  <si>
    <t>Manuales, guías, diagramas</t>
  </si>
  <si>
    <t>Asegura transferibilidad y soporte</t>
  </si>
  <si>
    <t>Firewall software (pfSense)</t>
  </si>
  <si>
    <t>Gabinete Rack 42U</t>
  </si>
  <si>
    <t>Organizar y alojar los servidores y equipos de red.</t>
  </si>
  <si>
    <t>Estructura metálica estandarizada donde se instalan servidores, switches, routers y otros equipos. Permite orden, ventilación adecuada y seguridad física.</t>
  </si>
  <si>
    <t>Instalación servicios web</t>
  </si>
  <si>
    <t>Administrador de sistemas</t>
  </si>
  <si>
    <t>Se instalan y configuran herramientas para alojar páginas o aplicaciones web (Apache, Nginx, IIS, etc.).</t>
  </si>
  <si>
    <t>total de costos operativos</t>
  </si>
  <si>
    <t xml:space="preserve">total en tiempos </t>
  </si>
  <si>
    <t xml:space="preserve"> total mano de obra</t>
  </si>
  <si>
    <t>Administración remota (SSH)</t>
  </si>
  <si>
    <t>Permitir el acceso seguro al servidor para administrarlo a distancia.</t>
  </si>
  <si>
    <t>Herramienta para conectarse a un servidor de forma segura desde otro lugar.</t>
  </si>
  <si>
    <t>Switch administrable 24 puertos</t>
  </si>
  <si>
    <t>Conectar y gestionar los dispositivos de la red interna.</t>
  </si>
  <si>
    <t>Dispositivo que conecta todos los equipos de la red local. Al ser administrable, permite configurar VLAN, priorizar tráfico, monitorear desempeño y mejorar la seguridad.</t>
  </si>
  <si>
    <t>Configuración base de datos</t>
  </si>
  <si>
    <t>DBA (Administrador de Base de Datos)</t>
  </si>
  <si>
    <t>Se instala el motor de base de datos, se crean usuarios y permisos, y se preparan bases iniciales.</t>
  </si>
  <si>
    <t xml:space="preserve">total costos </t>
  </si>
  <si>
    <t>Antivirus Corporativo</t>
  </si>
  <si>
    <t>Detectar y detener amenazas como virus, malware y ataques.</t>
  </si>
  <si>
    <t>Protege los equipos y servidores contra virus y ataques.</t>
  </si>
  <si>
    <t>Router empresarial con firewall</t>
  </si>
  <si>
    <t>Conectar la red a Internet y protegerla mediante filtrado de tráfico.</t>
  </si>
  <si>
    <t>Equipo encargado de gestionar la conexión a Internet y proteger la red mediante un firewall integrado. Permite reglas de seguridad, VPN, control de accesos y segmentación de la red.</t>
  </si>
  <si>
    <t>Roles y usuarios</t>
  </si>
  <si>
    <t xml:space="preserve">Administrador de sistemas / Administrador de seguridad </t>
  </si>
  <si>
    <t>Se crean cuentas y se asignan permisos según las responsabilidades de cada usuario dentro del servidor.</t>
  </si>
  <si>
    <t>Sistema de backups local</t>
  </si>
  <si>
    <t>Software que crea copias de seguridad de la información importante.</t>
  </si>
  <si>
    <t>Cableado estructurado Cat6</t>
  </si>
  <si>
    <t>Proveer conexión de red estable y de alta velocidad.</t>
  </si>
  <si>
    <t>Sistema de cables de red de alta velocidad, diseñado para transmisión estable hasta 1 Gbps o más. Garantiza conectividad confiable entre todos los dispositivos de la red.</t>
  </si>
  <si>
    <t>VPN acceso remoto</t>
  </si>
  <si>
    <t>Administrador de redes / ingeniero de seguridad</t>
  </si>
  <si>
    <t>Permite que usuarios autorizados se conecten al servidor desde cualquier lugar de forma segura.</t>
  </si>
  <si>
    <t>Monitoreo (Zabbix)</t>
  </si>
  <si>
    <t>Supervisar el rendimiento de servidores y alertar sobre fallos.</t>
  </si>
  <si>
    <t>Sistema que vigila el estado de servidores y servicios para detectar fallos.</t>
  </si>
  <si>
    <t>Aire acondicionado para rack</t>
  </si>
  <si>
    <t>Mantener el enfriamiento adecuado para evitar sobrecalentamiento.</t>
  </si>
  <si>
    <t>Equipo especializado que regula la temperatura dentro del rack para evitar sobrecalentamiento. Mantiene un ambiente seguro para el funcionamiento continuo de los equipos.</t>
  </si>
  <si>
    <t>Pruebas internas del servidor</t>
  </si>
  <si>
    <t>QA / Analista de pruebas / Administrador de sistemas</t>
  </si>
  <si>
    <t>Verifica que todos los servicios, configuraciones y accesos funcionen correctamente antes de usarlo en producción.</t>
  </si>
  <si>
    <t>Logs centralizados (ELK)</t>
  </si>
  <si>
    <t>Recolectar y mostrar todos los registros del sistema para análisis y auditoría.</t>
  </si>
  <si>
    <t>Herramienta que reúne y muestra registros de sistemas para revisar errores o actividades.</t>
  </si>
  <si>
    <t>Panel de parches 24 puertos</t>
  </si>
  <si>
    <t>Centralizar y organizar las conexiones del cableado.</t>
  </si>
  <si>
    <t>Módulo donde se organizan y conectan los cables de red. Permite una distribución ordenada, facilita mantenimientos y garantiza una infraestructura limpia y funcional.</t>
  </si>
  <si>
    <t>total de costos de  Configuración</t>
  </si>
  <si>
    <t>9. Pruebas internas del servidor</t>
  </si>
  <si>
    <t>total de costo Software</t>
  </si>
  <si>
    <t>total de costo Hardware</t>
  </si>
  <si>
    <t>Instancia VPS Cloud 4 CPU / 8GB RAM</t>
  </si>
  <si>
    <t>La administración de una instancia VPS suele estar a cargo del Administrador de sistemas en la nube, quien se encarga de configurar el servidor virtual, instalar servicios, monitorear su rendimiento y garantizar que tenga los recursos necesarios para las aplicaciones.</t>
  </si>
  <si>
    <t>Configuración CI/CD (cloud)</t>
  </si>
  <si>
    <t>La configuración de CI/CD en la nube es responsabilidad de un Ingeniero DevOps, quien diseña y mantiene los pipelines de integración y despliegue continuo. Este rol automatiza pruebas, compilaciones y despliegues para que las aplicaciones se actualicen de forma rápida, segura y sin interrupciones. También se encarga de integrar repositorios, servidores y servicios cloud en el proceso.</t>
  </si>
  <si>
    <t>Permite automatizar la entrega y despliegue de la aplicación en la nube. Su rol es garantizar que cada cambio en el código se pruebe, valide y despliegue de forma rápida y segura, reduciendo errores y acelerando el desarrollo.</t>
  </si>
  <si>
    <t>Costo instancia cloud mensual</t>
  </si>
  <si>
    <t>Cubre el funcionamiento continuo de la máquina virtual donde se ejecutan los servicios o aplicaciones. Su rol es garantizar la capacidad de procesamiento necesaria (CPU, RAM) para que el sistema funcione de forma estable y disponible.</t>
  </si>
  <si>
    <t>Es el valor por usar una máquina virtual en la nube, encargada de ejecutar la aplicación y sus servicios.</t>
  </si>
  <si>
    <t>Instancia Cloud con 8 CPU / 16GB RAM</t>
  </si>
  <si>
    <t>Este tipo de instancia más potente es manejada por un Ingeniero de infraestructura cloud, responsable de optimizar su uso, ajustar escalabilidad, aplicar políticas de seguridad y gestionar su integración con otros servicios en la nube.</t>
  </si>
  <si>
    <t>Docker / Kubernetes (cluster)</t>
  </si>
  <si>
    <t>El manejo de Docker y Kubernetes suele estar a cargo de un Ingeniero de contenedores o DevOps, especializado en orquestación. Su función es administrar el clúster, desplegar contenedores, controlar escalabilidad, monitorear cargas de trabajo y asegurar que las aplicaciones funcionen de forma distribuida y eficiente dentro del entorno cloud.</t>
  </si>
  <si>
    <t>Define y gestiona la ejecución de contenedores y su orquestación dentro de un clúster. Su rol es asegurar que las aplicaciones sean portables, escalables y fáciles de administrar, distribuyendo cargas y manteniendo alta disponibilidad.</t>
  </si>
  <si>
    <t>Costo base de datos cloud mensual</t>
  </si>
  <si>
    <t>Incluye el uso de una base de datos administrada con backups, escalabilidad y seguridad. Su rol es ofrecer un entorno confiable para almacenar, consultar y proteger los datos sin necesidad de administrar servidores propios.</t>
  </si>
  <si>
    <t>Corresponde al uso de una base de datos administrada que almacena y protege la información del sistema.</t>
  </si>
  <si>
    <t>Almacenamiento en la nube 1TB</t>
  </si>
  <si>
    <t>El Administrador de almacenamiento cloud gestiona los volúmenes de datos, permisos de acceso, copias de seguridad y políticas de redundancia, garantizando que la información esté disponible y segura en todo momento.</t>
  </si>
  <si>
    <t>Integración con sistemas locales</t>
  </si>
  <si>
    <t>La integración con sistemas locales es gestionada por un Ingeniero de integración o Arquitecto de TI, quien se encarga de conectar las aplicaciones en la nube con los sistemas internos de la empresa. Este rol diseña canales seguros de comunicación, configura VPN, API o túneles de red y garantiza que los datos fluyan correctamente entre el entorno local y el entorno cloud.</t>
  </si>
  <si>
    <t>Conecta la infraestructura en la nube con sistemas internos o servidores físicos de la organización. Su rol es permitir que ambos entornos trabajen juntos, compartan datos y funcionen como una sola solución sin interrumpir operaciones existentes.</t>
  </si>
  <si>
    <t>Costo almacenamiento cloud mensualmente</t>
  </si>
  <si>
    <t>Se refiere al espacio usado para guardar archivos, imágenes, registros, respaldos o datos estáticos. Su rol es permitir un almacenamiento flexible, accesible y escalable con tarifas más económicas que otros servicios.</t>
  </si>
  <si>
    <t>Es el costo por guardar archivos, imágenes, respaldos y datos estáticos en la nube.</t>
  </si>
  <si>
    <t>IP fija pública</t>
  </si>
  <si>
    <t>La configuración de una IP pública fija es responsabilidad del Administrador de redes cloud, quien enlaza la IP con las instancias necesarias, controla los accesos externos y configura reglas de firewall o seguridad.</t>
  </si>
  <si>
    <t xml:space="preserve">total de configuracion </t>
  </si>
  <si>
    <t>Transferencia de datos mensual</t>
  </si>
  <si>
    <t>Corresponde al tráfico de información que entra o sale de la nube. Su rol es cubrir la comunicación entre la aplicación y los usuarios o sistemas externos, asegurando que los datos puedan circular sin restricciones.</t>
  </si>
  <si>
    <t>Son los cargos por mover información desde o hacia la nube, especialmente el tráfico que sale hacia los usuarios o sistemas externos.</t>
  </si>
  <si>
    <t>Balanceador de carga cloud</t>
  </si>
  <si>
    <t>El Ingeniero DevOps o de infraestructura gestiona el balanceador de carga, distribuyendo el tráfico entre múltiples servidores para garantizar disponibilidad, estabilidad y un rendimiento óptimo en las aplicaciones.</t>
  </si>
  <si>
    <t>total Costos mensuales de la nube</t>
  </si>
  <si>
    <t>total Infraestructura cloud</t>
  </si>
  <si>
    <t xml:space="preserve">Nombre </t>
  </si>
  <si>
    <t xml:space="preserve">Cantidad </t>
  </si>
  <si>
    <t xml:space="preserve">Costo unitario total </t>
  </si>
  <si>
    <t xml:space="preserve">Especificacion </t>
  </si>
  <si>
    <t>Opción Económica: Servidor HP ML30 Gen10 Plus con procesador Intel Xeon E-2314 (4 núcleos), 16GB de RAM, y configuración de almacenamiento de 2 discos de 1TB en RAID 
Opción Media: Servidor HP ML30 Gen10 Plus con procesador Intel Xeon E-2336 (6 núcleos), 32GB de RAM, y 2 discos de 4TB en RAID 1.
Opción Full: Servidor HP ML30 Gen10 Plus con procesador Intel Xeon E-2336 (6 núcleos), 64GB de RAM, y 4 discos de 4TB configurados en RAID 10 para máxima velocidad y redundancia.</t>
  </si>
  <si>
    <t xml:space="preserve">PC </t>
  </si>
  <si>
    <t>Opción Económica: PC de oficina básico con procesador Core i3 / Ryzen 3, 8GB RAM, 256GB SSD y monitor de 21".
Opción Media: PC estándar con procesador Core i5 / Ryzen 5, 16GB RAM, 512GB SSD y monitor de 24" Full HD.
Opción Full: PC de alto rendimiento con procesador Core i7 / Ryzen 7, 32GB RAM, 1TB NVMe SSD y monitor de 27" (posiblemente 4K).</t>
  </si>
  <si>
    <t xml:space="preserve">Portatil </t>
  </si>
  <si>
    <t>Opción Económica: Portátil básico con Core i3 / Ryzen 3, 8GB RAM, 256GB SSD y pantalla HD.
Opción Media: Portátil de trabajo con Core i5 / Ryzen 5, 16GB RAM, 512GB SSD y pantalla Full HD con chasis mejorado.
Opción Full: Portátil Premium/Pro con Core i7 / Ryzen 7, 32GB RAM, 1TB NVMe SSD, pantalla de alta calidad (4K/OLED) y GPU dedicada.</t>
  </si>
  <si>
    <t>UPS industrial</t>
  </si>
  <si>
    <t>Opción Económica: El UPS tiene una capacidad de 2 KVA / 1.8 kW y utiliza tecnología Básica (Línea Interactiva o Doble Conversión). Ofrece una autonomía mínima de 5 a 10 minutos, suficiente para el apagado seguro de los equipos, y su conectividad es a través de puertos USB y Serie.
Opción Media: El UPS aumenta su capacidad a 3 KVA / 2.7 kW y utiliza tecnología Doble Conversión (Online) de Alta Eficiencia, garantizando energía limpia. Proporciona una autonomía adecuada de 15 a 20 minutos y se gestiona mediante una Tarjeta SNMP para el monitoreo remoto avanzado a través de la red.
Opción Full: El UPS de alto rendimiento tiene una capacidad de 5 KVA / 4.5 kW (o más) con tecnología Doble Conversión (Online) de máxima eficiencia y alto factor de potencia (cercano a 1). Ofrece una autonomía extendida de 30 a 45 minutos o mediante Módulos de Batería Externa. La gestión es premium, con Tarjeta SNMP redundante y Software de Gestión Centralizada.</t>
  </si>
  <si>
    <t>Opción Económica: Gabinete Rack 42U de profundidad estándar (aproximadamente 800-1000 mm). Incluye cerraduras básicas y ventilación pasiva. Es adecuado para un entorno de rack simple que solo aloja el equipo mínimo (Servidor Económico, UPS y Switch).
Opción Media: Gabinete Rack 42U de profundidad optimizada (1000-1200 mm) para mejor gestión de cableado y flujo de aire. Incluye paneles laterales removibles con llave y una o dos unidades de ventilación (fans) montadas en el techo. Ofrece una construcción más robusta y mejor manejo térmico para el equipo estándar.
Opción Full: Gabinete Rack 42U de máxima profundidad y resistencia, con alta capacidad de peso. Incluye acceso de seguridad avanzado (posiblemente biométrico o cerraduras de múltiples puntos), sistema de ventilación activa (múltiples fans de alta eficiencia) y gestión de cableado vertical de alta densidad. Diseñado para alojar una alta concentración de equipos (Servidor Full, UPS grande, etc.) y maximizar la eficiencia térmica.</t>
  </si>
  <si>
    <t>Opción Económica: TP-LINK 8 Puertos (Gigabit, No Gestionable), adecuado para una oficina pequeña.
Opción Media: TP-LINK 16 Puertos (Gigabit, No Gestionable), estándar para una red en crecimiento.
Opción Full: TP-LINK 24 Puertos (Gigabit, No Gestionable), para alta densidad de conexiones.</t>
  </si>
  <si>
    <t>Opción Económica: Router/Firewall de Gama Baja (ej. entrada FortiGate o pfSense en hardware simple). Ofrece VPN básica (limitado a 5-10 usuarios) y protección simple de cortafuegos de estado (stateful). Ideal para conexiones de internet de hasta 100 Mbps.
Opción Media: Router/Firewall de Gama Media (ej. FortiGate 60F o similar). Ofrece alto rendimiento en VPN (hasta 25 usuarios), filtrado web y antivirus en el gateway. Velocidad de rendimiento (throughput) garantizada de hasta 500 Mbps.
Opción Full: Router/Firewall de Gama Alta (ej. FortiGate 100F o superior). Capacidad de alto rendimiento y redundancia (HA), con funciones avanzadas (UTM/SD-WAN), IPS/IDS y alta capacidad de VPN (50+ usuarios). Diseñado para conexiones de 1 Gbps o más.</t>
  </si>
  <si>
    <t>Opción Económica: Instalación con cable Cat6 básico y canalización sencilla. Incluye patch panels y tomas de red genéricos. Enfocado en la funcionalidad mínima y cumplimiento de estándares para velocidad de 1 Gbps.
Opción Media: Instalación con cable Cat6 de marca reconocida, con certificación de calidad y una gestión de cableado profesional (orden y etiquetado). Utiliza patch panels y conectores de alta calidad. Rendimiento confiable de 1 Gbps con buena inmunidad a interferencias.
Opción Full: Instalación con cable Cat6A (que es la evolución de Cat6 para mayores distancias/ancho de banda) o Cat6 Premium blindado (Shielded). Incluye bandejas de cableado, gestión vertical/horizontal avanzada, y certificación de rendimiento de 10 Gbps para el futuro.</t>
  </si>
  <si>
    <t>Opción Económica: Sistema de enfriamiento Portátil/Mini-Split simple (no dedicado al rack) o Extracción de Aire caliente (fan de techo/alto flujo). Se basa en la climatización general de la sala, con una capacidad de 5,000 - 8,000 BTUs.
Opción Media: Unidad de Aire Acondicionado Mini-Split Inverter de Alta Eficiencia con capacidad de 9,000 - 12,000 BTUs. Montaje tipo pared. Ideal para mantener una temperatura controlada en una sala pequeña de servidores con equipos estándar.
Opción Full: Sistema de enfriamiento de precisión (CRAC) o Unidad de Aire Acondicionado de Rack Fila (In-Row Cooling). Capacidad de 15,000 BTUs o superior. Diseñado para un enfriamiento dedicado y continuo, con monitoreo de humedad y temperatura 24/7. Es esencial para el Servidor Full y el Gabinete Rack de alta densidad.</t>
  </si>
  <si>
    <t>Opción Económica: Panel de parches Cat6 sin blindaje (UTP), de marca genérica, con terminación simple y estándar. Cumple la función básica de interconexión.
Opción Media: Panel de parches Cat6 de marca reconocida, robusto, con mejor soporte de gestión de cableado en la parte trasera. Asegura una conectividad confiable.
Opción Full: Panel de parches Cat6A (preparado para 10 Gbps) o Cat6 Blindado (STP). Diseño de alta densidad o en ángulo para maximizar el espacio y la eficiencia del cableado.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</si>
</sst>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40A]\ * #,##0.00_-;\-[$$-240A]\ * #,##0.00_-;_-[$$-240A]\ * &quot;-&quot;??_-;_-@_-"/>
    <numFmt numFmtId="165" formatCode="&quot;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indexed="8"/>
      <name val="Calibri"/>
      <family val="2"/>
    </font>
    <font>
      <sz val="11"/>
      <color indexed="8"/>
      <name val="Tahoma"/>
      <family val="2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auto="1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6" fillId="0" borderId="0"/>
  </cellStyleXfs>
  <cellXfs count="147">
    <xf numFmtId="0" fontId="0" fillId="0" borderId="0" xfId="0"/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3" xfId="0" applyBorder="1" applyAlignment="1">
      <alignment wrapText="1"/>
    </xf>
    <xf numFmtId="0" fontId="0" fillId="0" borderId="15" xfId="0" applyBorder="1" applyAlignment="1">
      <alignment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2" fillId="0" borderId="0" xfId="0" applyFont="1"/>
    <xf numFmtId="0" fontId="4" fillId="2" borderId="12" xfId="0" applyFont="1" applyFill="1" applyBorder="1" applyAlignment="1">
      <alignment horizontal="left" vertical="center" wrapText="1"/>
    </xf>
    <xf numFmtId="164" fontId="4" fillId="2" borderId="8" xfId="0" applyNumberFormat="1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164" fontId="4" fillId="2" borderId="7" xfId="0" applyNumberFormat="1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 wrapText="1"/>
    </xf>
    <xf numFmtId="164" fontId="4" fillId="2" borderId="20" xfId="0" applyNumberFormat="1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 wrapText="1"/>
    </xf>
    <xf numFmtId="164" fontId="4" fillId="2" borderId="24" xfId="0" applyNumberFormat="1" applyFont="1" applyFill="1" applyBorder="1" applyAlignment="1">
      <alignment horizontal="left" vertical="center" wrapText="1"/>
    </xf>
    <xf numFmtId="164" fontId="4" fillId="2" borderId="24" xfId="0" applyNumberFormat="1" applyFont="1" applyFill="1" applyBorder="1" applyAlignment="1">
      <alignment horizontal="right" vertical="center" wrapText="1"/>
    </xf>
    <xf numFmtId="0" fontId="2" fillId="0" borderId="25" xfId="0" applyFont="1" applyBorder="1"/>
    <xf numFmtId="0" fontId="0" fillId="0" borderId="0" xfId="0"/>
    <xf numFmtId="0" fontId="4" fillId="2" borderId="7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left" vertical="center" wrapText="1"/>
    </xf>
    <xf numFmtId="0" fontId="4" fillId="2" borderId="28" xfId="0" applyFont="1" applyFill="1" applyBorder="1" applyAlignment="1">
      <alignment horizontal="left" vertical="center" wrapText="1"/>
    </xf>
    <xf numFmtId="0" fontId="1" fillId="0" borderId="29" xfId="0" applyFont="1" applyBorder="1" applyAlignment="1">
      <alignment wrapText="1"/>
    </xf>
    <xf numFmtId="164" fontId="4" fillId="2" borderId="29" xfId="0" applyNumberFormat="1" applyFont="1" applyFill="1" applyBorder="1" applyAlignment="1">
      <alignment horizontal="left" vertical="center" wrapText="1"/>
    </xf>
    <xf numFmtId="0" fontId="0" fillId="0" borderId="26" xfId="0" applyBorder="1" applyAlignment="1">
      <alignment wrapText="1"/>
    </xf>
    <xf numFmtId="4" fontId="0" fillId="0" borderId="0" xfId="0" applyNumberFormat="1" applyAlignment="1">
      <alignment horizontal="left" vertical="center"/>
    </xf>
    <xf numFmtId="0" fontId="2" fillId="0" borderId="25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0" fillId="2" borderId="7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3" fillId="2" borderId="31" xfId="0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0" fillId="3" borderId="41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4" borderId="23" xfId="0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2" borderId="43" xfId="0" applyFill="1" applyBorder="1" applyAlignment="1">
      <alignment horizontal="center" vertical="center"/>
    </xf>
    <xf numFmtId="0" fontId="7" fillId="2" borderId="13" xfId="0" applyFont="1" applyFill="1" applyBorder="1" applyAlignment="1">
      <alignment horizontal="left" vertical="center" wrapText="1"/>
    </xf>
    <xf numFmtId="0" fontId="0" fillId="2" borderId="44" xfId="0" applyFill="1" applyBorder="1" applyAlignment="1">
      <alignment horizontal="center" vertical="center"/>
    </xf>
    <xf numFmtId="0" fontId="7" fillId="2" borderId="37" xfId="0" applyFont="1" applyFill="1" applyBorder="1" applyAlignment="1">
      <alignment horizontal="left" vertical="center" wrapText="1"/>
    </xf>
    <xf numFmtId="164" fontId="0" fillId="2" borderId="16" xfId="1" applyNumberFormat="1" applyFont="1" applyFill="1" applyBorder="1" applyAlignment="1">
      <alignment horizontal="left" vertical="center"/>
    </xf>
    <xf numFmtId="164" fontId="0" fillId="2" borderId="16" xfId="1" applyNumberFormat="1" applyFont="1" applyFill="1" applyBorder="1" applyAlignment="1">
      <alignment vertical="center"/>
    </xf>
    <xf numFmtId="0" fontId="7" fillId="2" borderId="4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44" fontId="3" fillId="2" borderId="7" xfId="0" applyNumberFormat="1" applyFont="1" applyFill="1" applyBorder="1" applyAlignment="1">
      <alignment horizontal="left" vertical="center" wrapText="1"/>
    </xf>
    <xf numFmtId="0" fontId="2" fillId="6" borderId="14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6" borderId="15" xfId="0" applyFont="1" applyFill="1" applyBorder="1" applyAlignment="1">
      <alignment horizontal="left" vertical="center" wrapText="1"/>
    </xf>
    <xf numFmtId="0" fontId="2" fillId="6" borderId="0" xfId="0" applyFont="1" applyFill="1"/>
    <xf numFmtId="0" fontId="4" fillId="6" borderId="14" xfId="0" applyFont="1" applyFill="1" applyBorder="1" applyAlignment="1">
      <alignment horizontal="left" vertical="center" wrapText="1"/>
    </xf>
    <xf numFmtId="164" fontId="4" fillId="6" borderId="7" xfId="0" applyNumberFormat="1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1" fillId="6" borderId="7" xfId="0" applyFont="1" applyFill="1" applyBorder="1" applyAlignment="1">
      <alignment horizontal="left" vertical="center" wrapText="1"/>
    </xf>
    <xf numFmtId="0" fontId="0" fillId="6" borderId="15" xfId="0" applyFill="1" applyBorder="1" applyAlignment="1">
      <alignment wrapText="1"/>
    </xf>
    <xf numFmtId="0" fontId="0" fillId="6" borderId="0" xfId="0" applyFill="1"/>
    <xf numFmtId="0" fontId="3" fillId="6" borderId="7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vertical="center" wrapText="1"/>
    </xf>
    <xf numFmtId="44" fontId="3" fillId="6" borderId="7" xfId="0" applyNumberFormat="1" applyFont="1" applyFill="1" applyBorder="1" applyAlignment="1">
      <alignment horizontal="left" vertical="center" wrapText="1"/>
    </xf>
    <xf numFmtId="0" fontId="3" fillId="6" borderId="33" xfId="0" applyFont="1" applyFill="1" applyBorder="1" applyAlignment="1">
      <alignment horizontal="left" vertical="center"/>
    </xf>
    <xf numFmtId="0" fontId="3" fillId="6" borderId="34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wrapText="1"/>
    </xf>
    <xf numFmtId="0" fontId="3" fillId="6" borderId="18" xfId="0" applyFont="1" applyFill="1" applyBorder="1" applyAlignment="1">
      <alignment horizontal="left" vertical="center"/>
    </xf>
    <xf numFmtId="0" fontId="3" fillId="6" borderId="37" xfId="0" applyFont="1" applyFill="1" applyBorder="1" applyAlignment="1">
      <alignment horizontal="left" vertical="center"/>
    </xf>
    <xf numFmtId="44" fontId="3" fillId="2" borderId="20" xfId="0" applyNumberFormat="1" applyFont="1" applyFill="1" applyBorder="1" applyAlignment="1">
      <alignment horizontal="left" vertical="center" wrapText="1"/>
    </xf>
    <xf numFmtId="0" fontId="0" fillId="6" borderId="23" xfId="0" applyFill="1" applyBorder="1" applyAlignment="1">
      <alignment wrapText="1"/>
    </xf>
    <xf numFmtId="0" fontId="0" fillId="6" borderId="24" xfId="0" applyFill="1" applyBorder="1"/>
    <xf numFmtId="3" fontId="2" fillId="6" borderId="24" xfId="0" applyNumberFormat="1" applyFont="1" applyFill="1" applyBorder="1" applyAlignment="1">
      <alignment horizontal="left" vertical="center" wrapText="1"/>
    </xf>
    <xf numFmtId="0" fontId="2" fillId="6" borderId="25" xfId="0" applyFont="1" applyFill="1" applyBorder="1" applyAlignment="1">
      <alignment horizontal="left" vertical="center" wrapText="1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3" fontId="2" fillId="6" borderId="0" xfId="0" applyNumberFormat="1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3" fillId="6" borderId="39" xfId="0" applyFont="1" applyFill="1" applyBorder="1" applyAlignment="1">
      <alignment horizontal="left" vertical="center"/>
    </xf>
    <xf numFmtId="164" fontId="3" fillId="6" borderId="40" xfId="0" applyNumberFormat="1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1" fillId="6" borderId="7" xfId="0" applyFont="1" applyFill="1" applyBorder="1" applyAlignment="1">
      <alignment horizontal="left" vertical="center" wrapText="1" indent="1"/>
    </xf>
    <xf numFmtId="0" fontId="4" fillId="6" borderId="9" xfId="0" applyFont="1" applyFill="1" applyBorder="1" applyAlignment="1">
      <alignment horizontal="left" vertical="center" wrapText="1"/>
    </xf>
    <xf numFmtId="0" fontId="2" fillId="6" borderId="27" xfId="0" applyFont="1" applyFill="1" applyBorder="1" applyAlignment="1">
      <alignment wrapText="1"/>
    </xf>
    <xf numFmtId="164" fontId="4" fillId="6" borderId="27" xfId="0" applyNumberFormat="1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vertical="center" wrapText="1"/>
    </xf>
    <xf numFmtId="0" fontId="0" fillId="6" borderId="0" xfId="0" applyFill="1" applyAlignment="1">
      <alignment horizontal="left" vertical="center" wrapText="1"/>
    </xf>
    <xf numFmtId="44" fontId="3" fillId="2" borderId="7" xfId="0" applyNumberFormat="1" applyFont="1" applyFill="1" applyBorder="1" applyAlignment="1">
      <alignment vertical="center"/>
    </xf>
    <xf numFmtId="44" fontId="3" fillId="2" borderId="21" xfId="0" applyNumberFormat="1" applyFont="1" applyFill="1" applyBorder="1" applyAlignment="1">
      <alignment horizontal="left" vertical="center" wrapText="1"/>
    </xf>
    <xf numFmtId="44" fontId="0" fillId="3" borderId="42" xfId="1" applyFont="1" applyFill="1" applyBorder="1" applyAlignment="1">
      <alignment horizontal="left" vertical="center" wrapText="1"/>
    </xf>
    <xf numFmtId="0" fontId="3" fillId="6" borderId="14" xfId="0" applyFont="1" applyFill="1" applyBorder="1" applyAlignment="1">
      <alignment vertical="center" wrapText="1"/>
    </xf>
    <xf numFmtId="44" fontId="3" fillId="6" borderId="7" xfId="0" applyNumberFormat="1" applyFont="1" applyFill="1" applyBorder="1" applyAlignment="1">
      <alignment vertical="center"/>
    </xf>
    <xf numFmtId="0" fontId="2" fillId="6" borderId="15" xfId="0" applyFont="1" applyFill="1" applyBorder="1" applyAlignment="1">
      <alignment vertical="center" wrapText="1"/>
    </xf>
    <xf numFmtId="0" fontId="3" fillId="6" borderId="18" xfId="0" applyFont="1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44" fontId="3" fillId="6" borderId="16" xfId="0" applyNumberFormat="1" applyFont="1" applyFill="1" applyBorder="1" applyAlignment="1">
      <alignment horizontal="left" vertical="center" wrapText="1"/>
    </xf>
    <xf numFmtId="0" fontId="0" fillId="6" borderId="4" xfId="0" applyFill="1" applyBorder="1" applyAlignment="1">
      <alignment vertical="center" wrapText="1"/>
    </xf>
    <xf numFmtId="0" fontId="0" fillId="6" borderId="18" xfId="0" applyFill="1" applyBorder="1" applyAlignment="1">
      <alignment horizontal="left" vertical="center" wrapText="1"/>
    </xf>
    <xf numFmtId="44" fontId="0" fillId="6" borderId="16" xfId="1" applyFont="1" applyFill="1" applyBorder="1" applyAlignment="1">
      <alignment horizontal="left" vertical="center" wrapText="1"/>
    </xf>
    <xf numFmtId="44" fontId="3" fillId="2" borderId="29" xfId="0" applyNumberFormat="1" applyFont="1" applyFill="1" applyBorder="1" applyAlignment="1">
      <alignment horizontal="left" vertical="center" wrapText="1"/>
    </xf>
    <xf numFmtId="44" fontId="0" fillId="3" borderId="16" xfId="1" applyFont="1" applyFill="1" applyBorder="1" applyAlignment="1">
      <alignment horizontal="left" vertical="center" wrapText="1"/>
    </xf>
    <xf numFmtId="0" fontId="3" fillId="6" borderId="39" xfId="0" applyFont="1" applyFill="1" applyBorder="1" applyAlignment="1">
      <alignment horizontal="left" vertical="center" wrapText="1"/>
    </xf>
    <xf numFmtId="44" fontId="3" fillId="6" borderId="27" xfId="0" applyNumberFormat="1" applyFont="1" applyFill="1" applyBorder="1" applyAlignment="1">
      <alignment horizontal="left" vertical="center" wrapText="1"/>
    </xf>
    <xf numFmtId="0" fontId="2" fillId="6" borderId="40" xfId="0" applyFont="1" applyFill="1" applyBorder="1" applyAlignment="1">
      <alignment horizontal="left" vertical="center" wrapText="1"/>
    </xf>
    <xf numFmtId="44" fontId="0" fillId="4" borderId="24" xfId="1" applyFont="1" applyFill="1" applyBorder="1" applyAlignment="1">
      <alignment horizontal="left" vertical="center" wrapText="1"/>
    </xf>
    <xf numFmtId="0" fontId="3" fillId="6" borderId="23" xfId="0" applyFont="1" applyFill="1" applyBorder="1" applyAlignment="1">
      <alignment vertical="center" wrapText="1"/>
    </xf>
    <xf numFmtId="44" fontId="3" fillId="6" borderId="24" xfId="0" applyNumberFormat="1" applyFont="1" applyFill="1" applyBorder="1" applyAlignment="1">
      <alignment vertical="center"/>
    </xf>
    <xf numFmtId="0" fontId="2" fillId="6" borderId="25" xfId="0" applyFont="1" applyFill="1" applyBorder="1" applyAlignment="1">
      <alignment vertical="center" wrapText="1"/>
    </xf>
    <xf numFmtId="44" fontId="0" fillId="2" borderId="21" xfId="1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44" fontId="0" fillId="6" borderId="16" xfId="1" applyFont="1" applyFill="1" applyBorder="1" applyAlignment="1">
      <alignment vertical="center"/>
    </xf>
    <xf numFmtId="0" fontId="7" fillId="6" borderId="37" xfId="0" applyFont="1" applyFill="1" applyBorder="1" applyAlignment="1">
      <alignment horizontal="left" vertical="center" wrapText="1"/>
    </xf>
    <xf numFmtId="164" fontId="0" fillId="6" borderId="16" xfId="0" applyNumberForma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 wrapText="1"/>
    </xf>
    <xf numFmtId="164" fontId="0" fillId="6" borderId="16" xfId="1" applyNumberFormat="1" applyFont="1" applyFill="1" applyBorder="1" applyAlignment="1">
      <alignment vertical="center"/>
    </xf>
    <xf numFmtId="44" fontId="0" fillId="2" borderId="16" xfId="1" applyFont="1" applyFill="1" applyBorder="1" applyAlignment="1">
      <alignment vertical="center"/>
    </xf>
    <xf numFmtId="0" fontId="7" fillId="6" borderId="17" xfId="0" applyFont="1" applyFill="1" applyBorder="1" applyAlignment="1">
      <alignment horizontal="center" vertical="center" wrapText="1"/>
    </xf>
    <xf numFmtId="165" fontId="0" fillId="2" borderId="16" xfId="1" applyNumberFormat="1" applyFont="1" applyFill="1" applyBorder="1" applyAlignment="1">
      <alignment vertical="center"/>
    </xf>
    <xf numFmtId="0" fontId="0" fillId="6" borderId="45" xfId="0" applyFill="1" applyBorder="1" applyAlignment="1">
      <alignment horizontal="center" vertical="center"/>
    </xf>
    <xf numFmtId="164" fontId="0" fillId="6" borderId="24" xfId="0" applyNumberFormat="1" applyFill="1" applyBorder="1" applyAlignment="1">
      <alignment vertical="center"/>
    </xf>
    <xf numFmtId="0" fontId="7" fillId="6" borderId="25" xfId="0" applyFont="1" applyFill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"/>
  <sheetViews>
    <sheetView tabSelected="1" zoomScale="30" zoomScaleNormal="30" workbookViewId="0">
      <selection activeCell="V4" sqref="V4"/>
    </sheetView>
  </sheetViews>
  <sheetFormatPr baseColWidth="10" defaultRowHeight="15" x14ac:dyDescent="0.25"/>
  <cols>
    <col min="2" max="2" width="16.7109375" style="29" customWidth="1"/>
    <col min="3" max="3" width="15.7109375" style="29" customWidth="1"/>
    <col min="4" max="4" width="29.140625" style="29" customWidth="1"/>
    <col min="5" max="6" width="4" style="29" customWidth="1"/>
    <col min="8" max="8" width="31.85546875" style="29" customWidth="1"/>
    <col min="9" max="9" width="18.7109375" style="29" customWidth="1"/>
    <col min="10" max="10" width="37.42578125" style="29" customWidth="1"/>
    <col min="11" max="11" width="4" style="29" customWidth="1"/>
    <col min="12" max="12" width="3.85546875" style="29" customWidth="1"/>
    <col min="13" max="13" width="14.85546875" style="29" customWidth="1"/>
    <col min="14" max="14" width="28.140625" style="29" customWidth="1"/>
    <col min="15" max="15" width="18" style="29" bestFit="1" customWidth="1"/>
    <col min="16" max="16" width="77.7109375" style="29" customWidth="1"/>
    <col min="17" max="17" width="3.5703125" style="29" customWidth="1"/>
    <col min="18" max="18" width="3.42578125" style="29" customWidth="1"/>
    <col min="19" max="19" width="17.140625" style="29" customWidth="1"/>
    <col min="20" max="20" width="29" style="29" customWidth="1"/>
    <col min="21" max="21" width="16.85546875" style="29" bestFit="1" customWidth="1"/>
    <col min="22" max="22" width="45.85546875" style="29" customWidth="1"/>
    <col min="23" max="23" width="3.5703125" style="29" customWidth="1"/>
    <col min="24" max="24" width="3.7109375" style="29" customWidth="1"/>
    <col min="25" max="25" width="22.28515625" style="29" customWidth="1"/>
    <col min="26" max="26" width="53.7109375" style="29" customWidth="1"/>
    <col min="27" max="27" width="13.85546875" style="29" customWidth="1"/>
    <col min="28" max="28" width="14.42578125" style="29" customWidth="1"/>
    <col min="29" max="29" width="3.7109375" style="29" customWidth="1"/>
    <col min="30" max="30" width="3.140625" style="29" customWidth="1"/>
    <col min="31" max="31" width="25.7109375" style="29" customWidth="1"/>
    <col min="32" max="32" width="17.140625" style="29" bestFit="1" customWidth="1"/>
  </cols>
  <sheetData>
    <row r="1" spans="1:33" ht="29.25" customHeight="1" thickBot="1" x14ac:dyDescent="0.3">
      <c r="A1" s="68" t="s">
        <v>0</v>
      </c>
      <c r="B1" s="69" t="s">
        <v>1</v>
      </c>
      <c r="C1" s="69" t="s">
        <v>2</v>
      </c>
      <c r="D1" s="70" t="s">
        <v>3</v>
      </c>
      <c r="E1" s="71"/>
      <c r="F1" s="71"/>
      <c r="G1" s="68" t="s">
        <v>4</v>
      </c>
      <c r="H1" s="69" t="s">
        <v>5</v>
      </c>
      <c r="I1" s="69" t="s">
        <v>6</v>
      </c>
      <c r="J1" s="70" t="s">
        <v>7</v>
      </c>
      <c r="K1" s="71"/>
      <c r="L1" s="71"/>
      <c r="M1" s="72" t="s">
        <v>4</v>
      </c>
      <c r="N1" s="73" t="s">
        <v>5</v>
      </c>
      <c r="O1" s="73" t="s">
        <v>6</v>
      </c>
      <c r="P1" s="74" t="s">
        <v>7</v>
      </c>
      <c r="Q1" s="71"/>
      <c r="R1" s="71"/>
      <c r="S1" s="68" t="s">
        <v>4</v>
      </c>
      <c r="T1" s="69" t="s">
        <v>5</v>
      </c>
      <c r="U1" s="69" t="s">
        <v>6</v>
      </c>
      <c r="V1" s="70" t="s">
        <v>7</v>
      </c>
      <c r="W1" s="71"/>
      <c r="X1" s="71"/>
      <c r="Y1" s="72" t="s">
        <v>0</v>
      </c>
      <c r="Z1" s="73" t="s">
        <v>1</v>
      </c>
      <c r="AA1" s="73" t="s">
        <v>2</v>
      </c>
      <c r="AB1" s="74" t="s">
        <v>3</v>
      </c>
      <c r="AC1" s="71"/>
      <c r="AD1" s="71"/>
      <c r="AE1" s="68" t="s">
        <v>0</v>
      </c>
      <c r="AF1" s="70" t="s">
        <v>2</v>
      </c>
      <c r="AG1" s="71"/>
    </row>
    <row r="2" spans="1:33" ht="49.5" customHeight="1" x14ac:dyDescent="0.25">
      <c r="A2" s="6" t="s">
        <v>8</v>
      </c>
      <c r="B2" s="5" t="s">
        <v>9</v>
      </c>
      <c r="C2" s="5" t="s">
        <v>10</v>
      </c>
      <c r="D2" s="7" t="s">
        <v>11</v>
      </c>
      <c r="E2" s="17"/>
      <c r="F2" s="17"/>
      <c r="G2" s="18" t="s">
        <v>12</v>
      </c>
      <c r="H2" s="5" t="s">
        <v>13</v>
      </c>
      <c r="I2" s="19" t="s">
        <v>14</v>
      </c>
      <c r="J2" s="7" t="s">
        <v>15</v>
      </c>
      <c r="K2" s="17"/>
      <c r="L2" s="17"/>
      <c r="M2" s="20" t="s">
        <v>16</v>
      </c>
      <c r="N2" s="3" t="s">
        <v>17</v>
      </c>
      <c r="O2" s="21">
        <v>13420000</v>
      </c>
      <c r="P2" s="1" t="s">
        <v>18</v>
      </c>
      <c r="Q2" s="17"/>
      <c r="R2" s="17"/>
      <c r="S2" s="18" t="s">
        <v>19</v>
      </c>
      <c r="T2" s="33" t="s">
        <v>20</v>
      </c>
      <c r="U2" s="19">
        <v>1600000</v>
      </c>
      <c r="V2" s="11" t="s">
        <v>21</v>
      </c>
      <c r="Y2" s="30" t="s">
        <v>22</v>
      </c>
      <c r="Z2" s="41" t="s">
        <v>23</v>
      </c>
      <c r="AA2" s="75">
        <v>3600000</v>
      </c>
      <c r="AB2" s="3" t="s">
        <v>24</v>
      </c>
      <c r="AE2" s="44" t="s">
        <v>25</v>
      </c>
      <c r="AF2" s="45">
        <v>250</v>
      </c>
    </row>
    <row r="3" spans="1:33" ht="69.75" customHeight="1" x14ac:dyDescent="0.25">
      <c r="A3" s="76" t="s">
        <v>26</v>
      </c>
      <c r="B3" s="77" t="s">
        <v>27</v>
      </c>
      <c r="C3" s="77" t="s">
        <v>10</v>
      </c>
      <c r="D3" s="78" t="s">
        <v>28</v>
      </c>
      <c r="E3" s="79"/>
      <c r="F3" s="79"/>
      <c r="G3" s="80" t="s">
        <v>29</v>
      </c>
      <c r="H3" s="77" t="s">
        <v>30</v>
      </c>
      <c r="I3" s="81">
        <v>8190000</v>
      </c>
      <c r="J3" s="78" t="s">
        <v>31</v>
      </c>
      <c r="K3" s="79"/>
      <c r="L3" s="79"/>
      <c r="M3" s="80" t="s">
        <v>32</v>
      </c>
      <c r="N3" s="77" t="s">
        <v>33</v>
      </c>
      <c r="O3" s="81">
        <v>23330000</v>
      </c>
      <c r="P3" s="82" t="s">
        <v>34</v>
      </c>
      <c r="Q3" s="79"/>
      <c r="R3" s="79"/>
      <c r="S3" s="80" t="s">
        <v>35</v>
      </c>
      <c r="T3" s="83" t="s">
        <v>36</v>
      </c>
      <c r="U3" s="81">
        <v>1400000</v>
      </c>
      <c r="V3" s="84" t="s">
        <v>37</v>
      </c>
      <c r="W3" s="85"/>
      <c r="X3" s="85"/>
      <c r="Y3" s="86" t="s">
        <v>38</v>
      </c>
      <c r="Z3" s="87" t="s">
        <v>39</v>
      </c>
      <c r="AA3" s="88">
        <v>1000000</v>
      </c>
      <c r="AB3" s="77" t="s">
        <v>24</v>
      </c>
      <c r="AC3" s="85"/>
      <c r="AD3" s="85"/>
      <c r="AE3" s="89" t="s">
        <v>40</v>
      </c>
      <c r="AF3" s="90">
        <v>250</v>
      </c>
      <c r="AG3" s="85"/>
    </row>
    <row r="4" spans="1:33" ht="60" customHeight="1" x14ac:dyDescent="0.25">
      <c r="A4" s="8" t="s">
        <v>41</v>
      </c>
      <c r="B4" s="3" t="s">
        <v>42</v>
      </c>
      <c r="C4" s="3" t="s">
        <v>43</v>
      </c>
      <c r="D4" s="9" t="s">
        <v>44</v>
      </c>
      <c r="E4" s="17"/>
      <c r="F4" s="17"/>
      <c r="G4" s="20" t="s">
        <v>45</v>
      </c>
      <c r="H4" s="3" t="s">
        <v>46</v>
      </c>
      <c r="I4" s="21">
        <v>550000</v>
      </c>
      <c r="J4" s="9" t="s">
        <v>47</v>
      </c>
      <c r="K4" s="17"/>
      <c r="L4" s="17"/>
      <c r="M4" s="20" t="s">
        <v>48</v>
      </c>
      <c r="N4" s="3" t="s">
        <v>49</v>
      </c>
      <c r="O4" s="21">
        <v>43000000</v>
      </c>
      <c r="P4" s="1" t="s">
        <v>50</v>
      </c>
      <c r="Q4" s="17"/>
      <c r="R4" s="17"/>
      <c r="S4" s="20" t="s">
        <v>51</v>
      </c>
      <c r="T4" s="32" t="s">
        <v>52</v>
      </c>
      <c r="U4" s="21">
        <v>900000</v>
      </c>
      <c r="V4" s="12" t="s">
        <v>53</v>
      </c>
      <c r="Y4" s="14" t="s">
        <v>54</v>
      </c>
      <c r="Z4" s="41" t="s">
        <v>55</v>
      </c>
      <c r="AA4" s="75">
        <v>800000</v>
      </c>
      <c r="AB4" s="3" t="s">
        <v>24</v>
      </c>
      <c r="AE4" s="46" t="s">
        <v>56</v>
      </c>
      <c r="AF4" s="47">
        <v>250</v>
      </c>
    </row>
    <row r="5" spans="1:33" ht="56.25" customHeight="1" x14ac:dyDescent="0.25">
      <c r="A5" s="76" t="s">
        <v>57</v>
      </c>
      <c r="B5" s="77" t="s">
        <v>58</v>
      </c>
      <c r="C5" s="77" t="s">
        <v>10</v>
      </c>
      <c r="D5" s="78" t="s">
        <v>59</v>
      </c>
      <c r="E5" s="79"/>
      <c r="F5" s="79"/>
      <c r="G5" s="80" t="s">
        <v>60</v>
      </c>
      <c r="H5" s="77" t="s">
        <v>61</v>
      </c>
      <c r="I5" s="81">
        <v>750000</v>
      </c>
      <c r="J5" s="78" t="s">
        <v>47</v>
      </c>
      <c r="K5" s="79"/>
      <c r="L5" s="79"/>
      <c r="M5" s="80" t="s">
        <v>62</v>
      </c>
      <c r="N5" s="77" t="s">
        <v>63</v>
      </c>
      <c r="O5" s="81">
        <v>2399900</v>
      </c>
      <c r="P5" s="82" t="s">
        <v>64</v>
      </c>
      <c r="Q5" s="79"/>
      <c r="R5" s="79"/>
      <c r="S5" s="80" t="s">
        <v>65</v>
      </c>
      <c r="T5" s="91" t="s">
        <v>66</v>
      </c>
      <c r="U5" s="81">
        <v>650000</v>
      </c>
      <c r="V5" s="84" t="s">
        <v>67</v>
      </c>
      <c r="W5" s="85"/>
      <c r="X5" s="85"/>
      <c r="Y5" s="86" t="s">
        <v>68</v>
      </c>
      <c r="Z5" s="87" t="s">
        <v>69</v>
      </c>
      <c r="AA5" s="88">
        <v>1000000</v>
      </c>
      <c r="AB5" s="77" t="s">
        <v>24</v>
      </c>
      <c r="AC5" s="85"/>
      <c r="AD5" s="85"/>
      <c r="AE5" s="92" t="s">
        <v>70</v>
      </c>
      <c r="AF5" s="93">
        <v>1050</v>
      </c>
      <c r="AG5" s="85"/>
    </row>
    <row r="6" spans="1:33" ht="43.5" customHeight="1" thickBot="1" x14ac:dyDescent="0.3">
      <c r="A6" s="8" t="s">
        <v>71</v>
      </c>
      <c r="B6" s="3" t="s">
        <v>72</v>
      </c>
      <c r="C6" s="3" t="s">
        <v>10</v>
      </c>
      <c r="D6" s="9" t="s">
        <v>73</v>
      </c>
      <c r="E6" s="17"/>
      <c r="F6" s="17"/>
      <c r="G6" s="20" t="s">
        <v>74</v>
      </c>
      <c r="H6" s="3" t="s">
        <v>61</v>
      </c>
      <c r="I6" s="21">
        <v>800000</v>
      </c>
      <c r="J6" s="9" t="s">
        <v>47</v>
      </c>
      <c r="K6" s="17"/>
      <c r="L6" s="17"/>
      <c r="M6" s="20" t="s">
        <v>75</v>
      </c>
      <c r="N6" s="3" t="s">
        <v>76</v>
      </c>
      <c r="O6" s="21">
        <v>3291319</v>
      </c>
      <c r="P6" s="1" t="s">
        <v>77</v>
      </c>
      <c r="Q6" s="17"/>
      <c r="R6" s="17"/>
      <c r="S6" s="20" t="s">
        <v>78</v>
      </c>
      <c r="T6" s="31" t="s">
        <v>79</v>
      </c>
      <c r="U6" s="21">
        <v>750000</v>
      </c>
      <c r="V6" s="12" t="s">
        <v>80</v>
      </c>
      <c r="Y6" s="13" t="s">
        <v>81</v>
      </c>
      <c r="Z6" s="94">
        <f>SUM(Z2:Z5)</f>
        <v>0</v>
      </c>
      <c r="AA6" s="94">
        <f>SUM(AA2:AA5)</f>
        <v>6400000</v>
      </c>
      <c r="AB6" s="40" t="s">
        <v>24</v>
      </c>
      <c r="AE6" s="48" t="s">
        <v>82</v>
      </c>
      <c r="AF6" s="49">
        <f>SUM(AF2:AF5)</f>
        <v>1800</v>
      </c>
    </row>
    <row r="7" spans="1:33" ht="41.25" customHeight="1" thickBot="1" x14ac:dyDescent="0.3">
      <c r="A7" s="95" t="s">
        <v>83</v>
      </c>
      <c r="B7" s="96" t="s">
        <v>24</v>
      </c>
      <c r="C7" s="97">
        <v>7000000</v>
      </c>
      <c r="D7" s="98" t="s">
        <v>24</v>
      </c>
      <c r="E7" s="79"/>
      <c r="F7" s="79"/>
      <c r="G7" s="80" t="s">
        <v>84</v>
      </c>
      <c r="H7" s="77" t="s">
        <v>85</v>
      </c>
      <c r="I7" s="81">
        <v>350000</v>
      </c>
      <c r="J7" s="78" t="s">
        <v>86</v>
      </c>
      <c r="K7" s="79"/>
      <c r="L7" s="79"/>
      <c r="M7" s="80" t="s">
        <v>87</v>
      </c>
      <c r="N7" s="77" t="s">
        <v>88</v>
      </c>
      <c r="O7" s="81">
        <v>1093093</v>
      </c>
      <c r="P7" s="82" t="s">
        <v>89</v>
      </c>
      <c r="Q7" s="79"/>
      <c r="R7" s="79"/>
      <c r="S7" s="80" t="s">
        <v>90</v>
      </c>
      <c r="T7" s="83" t="s">
        <v>91</v>
      </c>
      <c r="U7" s="81">
        <v>800000</v>
      </c>
      <c r="V7" s="84" t="s">
        <v>92</v>
      </c>
      <c r="W7" s="85"/>
      <c r="X7" s="85"/>
      <c r="Y7" s="99" t="s">
        <v>24</v>
      </c>
      <c r="Z7" s="100" t="s">
        <v>24</v>
      </c>
      <c r="AA7" s="101" t="s">
        <v>24</v>
      </c>
      <c r="AB7" s="102" t="s">
        <v>24</v>
      </c>
      <c r="AC7" s="85"/>
      <c r="AD7" s="85"/>
      <c r="AE7" s="103" t="s">
        <v>93</v>
      </c>
      <c r="AF7" s="104">
        <v>137211324</v>
      </c>
      <c r="AG7" s="85"/>
    </row>
    <row r="8" spans="1:33" ht="44.25" customHeight="1" x14ac:dyDescent="0.25">
      <c r="A8" s="4"/>
      <c r="C8" s="38"/>
      <c r="E8" s="17"/>
      <c r="F8" s="17"/>
      <c r="G8" s="20" t="s">
        <v>94</v>
      </c>
      <c r="H8" s="3" t="s">
        <v>95</v>
      </c>
      <c r="I8" s="21">
        <v>1500000</v>
      </c>
      <c r="J8" s="9" t="s">
        <v>96</v>
      </c>
      <c r="K8" s="17"/>
      <c r="L8" s="17"/>
      <c r="M8" s="20" t="s">
        <v>97</v>
      </c>
      <c r="N8" s="3" t="s">
        <v>98</v>
      </c>
      <c r="O8" s="21">
        <v>4629112</v>
      </c>
      <c r="P8" s="1" t="s">
        <v>99</v>
      </c>
      <c r="Q8" s="17"/>
      <c r="R8" s="17"/>
      <c r="S8" s="20" t="s">
        <v>100</v>
      </c>
      <c r="T8" s="32" t="s">
        <v>101</v>
      </c>
      <c r="U8" s="21">
        <v>500000</v>
      </c>
      <c r="V8" s="12" t="s">
        <v>102</v>
      </c>
      <c r="Y8" s="42" t="s">
        <v>24</v>
      </c>
      <c r="Z8" s="42" t="s">
        <v>24</v>
      </c>
      <c r="AA8" s="42" t="s">
        <v>24</v>
      </c>
      <c r="AB8" s="42" t="s">
        <v>24</v>
      </c>
      <c r="AC8" s="42" t="s">
        <v>24</v>
      </c>
      <c r="AD8" s="42" t="s">
        <v>24</v>
      </c>
      <c r="AE8" s="42" t="s">
        <v>24</v>
      </c>
      <c r="AF8" s="42" t="s">
        <v>24</v>
      </c>
      <c r="AG8" s="42" t="s">
        <v>24</v>
      </c>
    </row>
    <row r="9" spans="1:33" ht="51" customHeight="1" x14ac:dyDescent="0.25">
      <c r="A9" s="102"/>
      <c r="B9" s="102"/>
      <c r="C9" s="102"/>
      <c r="D9" s="105"/>
      <c r="E9" s="79"/>
      <c r="F9" s="79"/>
      <c r="G9" s="80" t="s">
        <v>103</v>
      </c>
      <c r="H9" s="77" t="s">
        <v>95</v>
      </c>
      <c r="I9" s="81">
        <v>800000</v>
      </c>
      <c r="J9" s="78" t="s">
        <v>104</v>
      </c>
      <c r="K9" s="79"/>
      <c r="L9" s="79"/>
      <c r="M9" s="80" t="s">
        <v>105</v>
      </c>
      <c r="N9" s="77" t="s">
        <v>106</v>
      </c>
      <c r="O9" s="81">
        <v>4353000</v>
      </c>
      <c r="P9" s="82" t="s">
        <v>107</v>
      </c>
      <c r="Q9" s="79"/>
      <c r="R9" s="79"/>
      <c r="S9" s="80" t="s">
        <v>108</v>
      </c>
      <c r="T9" s="106" t="s">
        <v>109</v>
      </c>
      <c r="U9" s="81">
        <v>700000</v>
      </c>
      <c r="V9" s="84" t="s">
        <v>110</v>
      </c>
      <c r="W9" s="85"/>
      <c r="X9" s="85"/>
      <c r="Y9" s="99" t="s">
        <v>24</v>
      </c>
      <c r="Z9" s="99" t="s">
        <v>24</v>
      </c>
      <c r="AA9" s="99" t="s">
        <v>24</v>
      </c>
      <c r="AB9" s="99" t="s">
        <v>24</v>
      </c>
      <c r="AC9" s="99" t="s">
        <v>24</v>
      </c>
      <c r="AD9" s="99" t="s">
        <v>24</v>
      </c>
      <c r="AE9" s="99" t="s">
        <v>24</v>
      </c>
      <c r="AF9" s="99" t="s">
        <v>24</v>
      </c>
      <c r="AG9" s="99" t="s">
        <v>24</v>
      </c>
    </row>
    <row r="10" spans="1:33" ht="48.75" customHeight="1" thickBot="1" x14ac:dyDescent="0.3">
      <c r="A10" s="4"/>
      <c r="B10" s="4"/>
      <c r="C10" s="4"/>
      <c r="D10" s="4"/>
      <c r="E10" s="17"/>
      <c r="F10" s="17"/>
      <c r="G10" s="20" t="s">
        <v>111</v>
      </c>
      <c r="H10" s="3" t="s">
        <v>112</v>
      </c>
      <c r="I10" s="21">
        <v>1600000</v>
      </c>
      <c r="J10" s="9" t="s">
        <v>113</v>
      </c>
      <c r="K10" s="17"/>
      <c r="L10" s="17"/>
      <c r="M10" s="20" t="s">
        <v>114</v>
      </c>
      <c r="N10" s="3" t="s">
        <v>115</v>
      </c>
      <c r="O10" s="21">
        <v>3800000</v>
      </c>
      <c r="P10" s="1" t="s">
        <v>116</v>
      </c>
      <c r="Q10" s="17"/>
      <c r="R10" s="17"/>
      <c r="S10" s="34" t="s">
        <v>117</v>
      </c>
      <c r="T10" s="35" t="s">
        <v>118</v>
      </c>
      <c r="U10" s="36">
        <v>500000</v>
      </c>
      <c r="V10" s="37" t="s">
        <v>119</v>
      </c>
      <c r="Y10" s="42" t="s">
        <v>24</v>
      </c>
      <c r="Z10" s="42" t="s">
        <v>24</v>
      </c>
      <c r="AA10" s="42" t="s">
        <v>24</v>
      </c>
      <c r="AB10" s="42" t="s">
        <v>24</v>
      </c>
      <c r="AC10" s="42" t="s">
        <v>24</v>
      </c>
      <c r="AD10" s="42" t="s">
        <v>24</v>
      </c>
      <c r="AE10" s="42" t="s">
        <v>24</v>
      </c>
      <c r="AF10" s="42" t="s">
        <v>24</v>
      </c>
      <c r="AG10" s="42" t="s">
        <v>24</v>
      </c>
    </row>
    <row r="11" spans="1:33" ht="49.5" customHeight="1" thickBot="1" x14ac:dyDescent="0.3">
      <c r="A11" s="102"/>
      <c r="B11" s="102"/>
      <c r="C11" s="102"/>
      <c r="D11" s="102"/>
      <c r="E11" s="79"/>
      <c r="F11" s="79"/>
      <c r="G11" s="80" t="s">
        <v>120</v>
      </c>
      <c r="H11" s="77" t="s">
        <v>121</v>
      </c>
      <c r="I11" s="81">
        <v>2000000</v>
      </c>
      <c r="J11" s="78" t="s">
        <v>122</v>
      </c>
      <c r="K11" s="79"/>
      <c r="L11" s="79"/>
      <c r="M11" s="80" t="s">
        <v>123</v>
      </c>
      <c r="N11" s="77" t="s">
        <v>124</v>
      </c>
      <c r="O11" s="81">
        <v>154900</v>
      </c>
      <c r="P11" s="82" t="s">
        <v>125</v>
      </c>
      <c r="Q11" s="79"/>
      <c r="R11" s="79"/>
      <c r="S11" s="107" t="s">
        <v>126</v>
      </c>
      <c r="T11" s="108"/>
      <c r="U11" s="109">
        <f>SUM(U2:U10)</f>
        <v>7800000</v>
      </c>
      <c r="V11" s="110" t="s">
        <v>127</v>
      </c>
      <c r="W11" s="85"/>
      <c r="X11" s="85"/>
      <c r="Y11" s="99" t="s">
        <v>24</v>
      </c>
      <c r="Z11" s="99" t="s">
        <v>24</v>
      </c>
      <c r="AA11" s="99" t="s">
        <v>24</v>
      </c>
      <c r="AB11" s="99" t="s">
        <v>24</v>
      </c>
      <c r="AC11" s="99" t="s">
        <v>24</v>
      </c>
      <c r="AD11" s="99" t="s">
        <v>24</v>
      </c>
      <c r="AE11" s="99" t="s">
        <v>24</v>
      </c>
      <c r="AF11" s="99" t="s">
        <v>24</v>
      </c>
      <c r="AG11" s="99" t="s">
        <v>24</v>
      </c>
    </row>
    <row r="12" spans="1:33" ht="43.5" customHeight="1" thickBot="1" x14ac:dyDescent="0.3">
      <c r="A12" s="4"/>
      <c r="B12" s="4"/>
      <c r="C12" s="4"/>
      <c r="D12" s="4"/>
      <c r="E12" s="17"/>
      <c r="F12" s="17"/>
      <c r="G12" s="22" t="s">
        <v>128</v>
      </c>
      <c r="H12" s="2"/>
      <c r="I12" s="23">
        <v>16540000</v>
      </c>
      <c r="J12" s="24"/>
      <c r="K12" s="17"/>
      <c r="L12" s="17"/>
      <c r="M12" s="25" t="s">
        <v>129</v>
      </c>
      <c r="N12" s="26">
        <f>SUM(N2:N11)</f>
        <v>0</v>
      </c>
      <c r="O12" s="27">
        <f>SUM(O2:O11)</f>
        <v>99471324</v>
      </c>
      <c r="P12" s="28" t="s">
        <v>24</v>
      </c>
      <c r="Q12" s="4"/>
      <c r="R12" s="4"/>
      <c r="S12" s="4"/>
      <c r="T12" s="4"/>
      <c r="U12" s="4"/>
      <c r="V12" s="4"/>
      <c r="W12" s="4"/>
      <c r="Y12" s="42" t="s">
        <v>24</v>
      </c>
      <c r="Z12" s="42" t="s">
        <v>24</v>
      </c>
      <c r="AA12" s="42" t="s">
        <v>24</v>
      </c>
      <c r="AB12" s="42" t="s">
        <v>24</v>
      </c>
      <c r="AC12" s="42" t="s">
        <v>24</v>
      </c>
      <c r="AD12" s="42" t="s">
        <v>24</v>
      </c>
      <c r="AE12" s="42" t="s">
        <v>24</v>
      </c>
      <c r="AF12" s="42" t="s">
        <v>24</v>
      </c>
      <c r="AG12" s="42" t="s">
        <v>24</v>
      </c>
    </row>
    <row r="13" spans="1:33" x14ac:dyDescent="0.25">
      <c r="A13" s="102"/>
      <c r="B13" s="102"/>
      <c r="C13" s="102"/>
      <c r="D13" s="102"/>
      <c r="E13" s="85"/>
      <c r="F13" s="85"/>
      <c r="G13" s="85"/>
      <c r="H13" s="85"/>
      <c r="I13" s="85"/>
      <c r="J13" s="85"/>
      <c r="K13" s="85"/>
      <c r="L13" s="85"/>
      <c r="M13" s="85"/>
      <c r="N13" s="111" t="s">
        <v>24</v>
      </c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99" t="s">
        <v>24</v>
      </c>
      <c r="Z13" s="99" t="s">
        <v>24</v>
      </c>
      <c r="AA13" s="99" t="s">
        <v>24</v>
      </c>
      <c r="AB13" s="99" t="s">
        <v>24</v>
      </c>
      <c r="AC13" s="99" t="s">
        <v>24</v>
      </c>
      <c r="AD13" s="99" t="s">
        <v>24</v>
      </c>
      <c r="AE13" s="99" t="s">
        <v>24</v>
      </c>
      <c r="AF13" s="99" t="s">
        <v>24</v>
      </c>
      <c r="AG13" s="99" t="s">
        <v>24</v>
      </c>
    </row>
    <row r="14" spans="1:33" x14ac:dyDescent="0.25">
      <c r="A14" s="4"/>
      <c r="B14" s="4"/>
      <c r="C14" s="4"/>
      <c r="D14" s="4"/>
      <c r="Y14" s="42" t="s">
        <v>24</v>
      </c>
      <c r="Z14" s="42" t="s">
        <v>24</v>
      </c>
      <c r="AA14" s="42" t="s">
        <v>24</v>
      </c>
      <c r="AB14" s="42" t="s">
        <v>24</v>
      </c>
      <c r="AC14" s="42" t="s">
        <v>24</v>
      </c>
      <c r="AD14" s="42" t="s">
        <v>24</v>
      </c>
      <c r="AE14" s="42" t="s">
        <v>24</v>
      </c>
      <c r="AF14" s="42" t="s">
        <v>24</v>
      </c>
      <c r="AG14" s="42" t="s">
        <v>24</v>
      </c>
    </row>
    <row r="15" spans="1:33" x14ac:dyDescent="0.25">
      <c r="A15" s="102"/>
      <c r="B15" s="102"/>
      <c r="C15" s="102"/>
      <c r="D15" s="102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99" t="s">
        <v>24</v>
      </c>
      <c r="Z15" s="99" t="s">
        <v>24</v>
      </c>
      <c r="AA15" s="99" t="s">
        <v>24</v>
      </c>
      <c r="AB15" s="99" t="s">
        <v>24</v>
      </c>
      <c r="AC15" s="99" t="s">
        <v>24</v>
      </c>
      <c r="AD15" s="99" t="s">
        <v>24</v>
      </c>
      <c r="AE15" s="99" t="s">
        <v>24</v>
      </c>
      <c r="AF15" s="99" t="s">
        <v>24</v>
      </c>
      <c r="AG15" s="99" t="s">
        <v>24</v>
      </c>
    </row>
    <row r="16" spans="1:33" x14ac:dyDescent="0.25">
      <c r="A16" s="4"/>
      <c r="B16" s="4"/>
      <c r="C16" s="4"/>
      <c r="Y16" s="42" t="s">
        <v>24</v>
      </c>
      <c r="Z16" s="42" t="s">
        <v>24</v>
      </c>
      <c r="AA16" s="42" t="s">
        <v>24</v>
      </c>
      <c r="AB16" s="42" t="s">
        <v>24</v>
      </c>
      <c r="AC16" s="42" t="s">
        <v>24</v>
      </c>
      <c r="AD16" s="42" t="s">
        <v>24</v>
      </c>
      <c r="AE16" s="42" t="s">
        <v>24</v>
      </c>
      <c r="AF16" s="42" t="s">
        <v>24</v>
      </c>
      <c r="AG16" s="42" t="s">
        <v>24</v>
      </c>
    </row>
    <row r="17" spans="1:33" x14ac:dyDescent="0.25">
      <c r="A17" s="85"/>
      <c r="B17" s="85"/>
      <c r="C17" s="102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99" t="s">
        <v>24</v>
      </c>
      <c r="Z17" s="99" t="s">
        <v>24</v>
      </c>
      <c r="AA17" s="99" t="s">
        <v>24</v>
      </c>
      <c r="AB17" s="99" t="s">
        <v>24</v>
      </c>
      <c r="AC17" s="99" t="s">
        <v>24</v>
      </c>
      <c r="AD17" s="99" t="s">
        <v>24</v>
      </c>
      <c r="AE17" s="99" t="s">
        <v>24</v>
      </c>
      <c r="AF17" s="99" t="s">
        <v>24</v>
      </c>
      <c r="AG17" s="99" t="s">
        <v>24</v>
      </c>
    </row>
    <row r="18" spans="1:33" x14ac:dyDescent="0.25">
      <c r="Y18" s="42" t="s">
        <v>24</v>
      </c>
      <c r="Z18" s="42" t="s">
        <v>24</v>
      </c>
      <c r="AA18" s="42" t="s">
        <v>24</v>
      </c>
      <c r="AB18" s="42" t="s">
        <v>24</v>
      </c>
      <c r="AC18" s="42" t="s">
        <v>24</v>
      </c>
      <c r="AD18" s="42" t="s">
        <v>24</v>
      </c>
      <c r="AE18" s="42" t="s">
        <v>24</v>
      </c>
      <c r="AF18" s="42" t="s">
        <v>24</v>
      </c>
      <c r="AG18" s="42" t="s">
        <v>24</v>
      </c>
    </row>
  </sheetData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"/>
  <sheetViews>
    <sheetView zoomScale="40" zoomScaleNormal="40" workbookViewId="0">
      <selection activeCell="G5" sqref="G5"/>
    </sheetView>
  </sheetViews>
  <sheetFormatPr baseColWidth="10" defaultRowHeight="15" x14ac:dyDescent="0.25"/>
  <cols>
    <col min="2" max="2" width="51.85546875" style="29" customWidth="1"/>
    <col min="3" max="3" width="14.5703125" style="29" bestFit="1" customWidth="1"/>
    <col min="4" max="4" width="24.42578125" style="29" customWidth="1"/>
    <col min="5" max="5" width="4.7109375" style="29" customWidth="1"/>
    <col min="6" max="6" width="4.42578125" style="29" customWidth="1"/>
    <col min="7" max="7" width="16.140625" style="29" customWidth="1"/>
    <col min="8" max="8" width="79.28515625" style="29" customWidth="1"/>
    <col min="9" max="9" width="14.5703125" style="29" bestFit="1" customWidth="1"/>
    <col min="10" max="10" width="59.28515625" style="29" customWidth="1"/>
    <col min="11" max="11" width="3" style="29" customWidth="1"/>
    <col min="12" max="12" width="3.28515625" style="29" customWidth="1"/>
    <col min="13" max="13" width="18.7109375" style="29" customWidth="1"/>
    <col min="14" max="14" width="54.140625" style="29" customWidth="1"/>
    <col min="15" max="15" width="14.28515625" style="29" bestFit="1" customWidth="1"/>
    <col min="16" max="16" width="26" style="29" customWidth="1"/>
  </cols>
  <sheetData>
    <row r="1" spans="1:16" ht="29.25" customHeight="1" thickBot="1" x14ac:dyDescent="0.3">
      <c r="A1" s="72" t="s">
        <v>0</v>
      </c>
      <c r="B1" s="73" t="s">
        <v>1</v>
      </c>
      <c r="C1" s="73" t="s">
        <v>2</v>
      </c>
      <c r="D1" s="74" t="s">
        <v>3</v>
      </c>
      <c r="E1" s="71"/>
      <c r="F1" s="71"/>
      <c r="G1" s="68" t="s">
        <v>0</v>
      </c>
      <c r="H1" s="73" t="s">
        <v>1</v>
      </c>
      <c r="I1" s="69" t="s">
        <v>2</v>
      </c>
      <c r="J1" s="70" t="s">
        <v>3</v>
      </c>
      <c r="K1" s="71"/>
      <c r="L1" s="71"/>
      <c r="M1" s="72" t="s">
        <v>0</v>
      </c>
      <c r="N1" s="73" t="s">
        <v>1</v>
      </c>
      <c r="O1" s="73" t="s">
        <v>2</v>
      </c>
      <c r="P1" s="74" t="s">
        <v>3</v>
      </c>
    </row>
    <row r="2" spans="1:16" ht="97.5" customHeight="1" x14ac:dyDescent="0.25">
      <c r="A2" s="16" t="s">
        <v>130</v>
      </c>
      <c r="B2" s="15" t="s">
        <v>131</v>
      </c>
      <c r="C2" s="112">
        <v>1500000</v>
      </c>
      <c r="D2" s="43" t="s">
        <v>11</v>
      </c>
      <c r="G2" s="53" t="s">
        <v>132</v>
      </c>
      <c r="H2" s="58" t="s">
        <v>133</v>
      </c>
      <c r="I2" s="113">
        <v>1200000</v>
      </c>
      <c r="J2" s="56" t="s">
        <v>134</v>
      </c>
      <c r="M2" s="50" t="s">
        <v>135</v>
      </c>
      <c r="N2" s="58" t="s">
        <v>136</v>
      </c>
      <c r="O2" s="114">
        <v>1500000</v>
      </c>
      <c r="P2" s="55" t="s">
        <v>137</v>
      </c>
    </row>
    <row r="3" spans="1:16" ht="89.25" customHeight="1" x14ac:dyDescent="0.25">
      <c r="A3" s="115" t="s">
        <v>138</v>
      </c>
      <c r="B3" s="87" t="s">
        <v>139</v>
      </c>
      <c r="C3" s="116">
        <v>3000000</v>
      </c>
      <c r="D3" s="117" t="s">
        <v>28</v>
      </c>
      <c r="E3" s="85"/>
      <c r="F3" s="85"/>
      <c r="G3" s="118" t="s">
        <v>140</v>
      </c>
      <c r="H3" s="119" t="s">
        <v>141</v>
      </c>
      <c r="I3" s="120">
        <v>2500000</v>
      </c>
      <c r="J3" s="121" t="s">
        <v>142</v>
      </c>
      <c r="K3" s="85"/>
      <c r="L3" s="85"/>
      <c r="M3" s="122" t="s">
        <v>143</v>
      </c>
      <c r="N3" s="119" t="s">
        <v>144</v>
      </c>
      <c r="O3" s="123">
        <v>1200000</v>
      </c>
      <c r="P3" s="121" t="s">
        <v>145</v>
      </c>
    </row>
    <row r="4" spans="1:16" ht="93.75" customHeight="1" thickBot="1" x14ac:dyDescent="0.3">
      <c r="A4" s="16" t="s">
        <v>146</v>
      </c>
      <c r="B4" s="15" t="s">
        <v>147</v>
      </c>
      <c r="C4" s="112">
        <v>600000</v>
      </c>
      <c r="D4" s="43" t="s">
        <v>44</v>
      </c>
      <c r="G4" s="57" t="s">
        <v>148</v>
      </c>
      <c r="H4" s="54" t="s">
        <v>149</v>
      </c>
      <c r="I4" s="124">
        <v>900000</v>
      </c>
      <c r="J4" s="56" t="s">
        <v>150</v>
      </c>
      <c r="M4" s="51" t="s">
        <v>151</v>
      </c>
      <c r="N4" s="58" t="s">
        <v>152</v>
      </c>
      <c r="O4" s="125">
        <v>400000</v>
      </c>
      <c r="P4" s="56" t="s">
        <v>153</v>
      </c>
    </row>
    <row r="5" spans="1:16" ht="91.5" customHeight="1" thickBot="1" x14ac:dyDescent="0.3">
      <c r="A5" s="115" t="s">
        <v>154</v>
      </c>
      <c r="B5" s="87" t="s">
        <v>155</v>
      </c>
      <c r="C5" s="116">
        <v>200000</v>
      </c>
      <c r="D5" s="117" t="s">
        <v>59</v>
      </c>
      <c r="E5" s="85"/>
      <c r="F5" s="85"/>
      <c r="G5" s="126" t="s">
        <v>156</v>
      </c>
      <c r="H5" s="127" t="s">
        <v>24</v>
      </c>
      <c r="I5" s="127">
        <f>SUM(I2:I4)</f>
        <v>4600000</v>
      </c>
      <c r="J5" s="128"/>
      <c r="K5" s="85"/>
      <c r="L5" s="85"/>
      <c r="M5" s="122" t="s">
        <v>157</v>
      </c>
      <c r="N5" s="119" t="s">
        <v>158</v>
      </c>
      <c r="O5" s="123">
        <v>300000</v>
      </c>
      <c r="P5" s="121" t="s">
        <v>159</v>
      </c>
    </row>
    <row r="6" spans="1:16" ht="69" customHeight="1" thickBot="1" x14ac:dyDescent="0.3">
      <c r="A6" s="16" t="s">
        <v>160</v>
      </c>
      <c r="B6" s="15" t="s">
        <v>161</v>
      </c>
      <c r="C6" s="112">
        <v>1000000</v>
      </c>
      <c r="D6" s="43" t="s">
        <v>73</v>
      </c>
      <c r="M6" s="52" t="s">
        <v>162</v>
      </c>
      <c r="N6" s="129" t="s">
        <v>24</v>
      </c>
      <c r="O6" s="129">
        <f>SUM(O2:O5)</f>
        <v>3400000</v>
      </c>
      <c r="P6" s="39"/>
    </row>
    <row r="7" spans="1:16" ht="45.75" customHeight="1" thickBot="1" x14ac:dyDescent="0.3">
      <c r="A7" s="130" t="s">
        <v>163</v>
      </c>
      <c r="B7" s="131" t="s">
        <v>24</v>
      </c>
      <c r="C7" s="131">
        <f>SUM(C2:C6)</f>
        <v>6300000</v>
      </c>
      <c r="D7" s="132" t="s">
        <v>24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</row>
    <row r="8" spans="1:16" x14ac:dyDescent="0.25">
      <c r="G8" s="10"/>
      <c r="H8" s="10"/>
      <c r="I8" s="10"/>
      <c r="J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opLeftCell="A6" zoomScale="30" zoomScaleNormal="30" workbookViewId="0">
      <selection activeCell="A11" sqref="A11"/>
    </sheetView>
  </sheetViews>
  <sheetFormatPr baseColWidth="10" defaultRowHeight="15" x14ac:dyDescent="0.25"/>
  <cols>
    <col min="1" max="1" width="19.140625" style="29" customWidth="1"/>
    <col min="3" max="3" width="21.42578125" style="29" customWidth="1"/>
    <col min="4" max="4" width="78" style="29" customWidth="1"/>
  </cols>
  <sheetData>
    <row r="1" spans="1:4" ht="29.25" customHeight="1" thickBot="1" x14ac:dyDescent="0.3">
      <c r="A1" s="68" t="s">
        <v>164</v>
      </c>
      <c r="B1" s="69" t="s">
        <v>165</v>
      </c>
      <c r="C1" s="69" t="s">
        <v>166</v>
      </c>
      <c r="D1" s="70" t="s">
        <v>167</v>
      </c>
    </row>
    <row r="2" spans="1:4" ht="133.5" customHeight="1" x14ac:dyDescent="0.25">
      <c r="A2" s="65" t="s">
        <v>16</v>
      </c>
      <c r="B2" s="59">
        <v>1</v>
      </c>
      <c r="C2" s="133">
        <v>13420000</v>
      </c>
      <c r="D2" s="60" t="s">
        <v>168</v>
      </c>
    </row>
    <row r="3" spans="1:4" ht="132.75" customHeight="1" x14ac:dyDescent="0.25">
      <c r="A3" s="134" t="s">
        <v>169</v>
      </c>
      <c r="B3" s="135">
        <v>5</v>
      </c>
      <c r="C3" s="136">
        <v>4666000</v>
      </c>
      <c r="D3" s="137" t="s">
        <v>170</v>
      </c>
    </row>
    <row r="4" spans="1:4" ht="139.5" customHeight="1" x14ac:dyDescent="0.25">
      <c r="A4" s="66" t="s">
        <v>171</v>
      </c>
      <c r="B4" s="61">
        <v>5</v>
      </c>
      <c r="C4" s="63">
        <v>8600000</v>
      </c>
      <c r="D4" s="62" t="s">
        <v>172</v>
      </c>
    </row>
    <row r="5" spans="1:4" ht="225" customHeight="1" x14ac:dyDescent="0.25">
      <c r="A5" s="134" t="s">
        <v>173</v>
      </c>
      <c r="B5" s="135">
        <v>1</v>
      </c>
      <c r="C5" s="138">
        <v>2399900</v>
      </c>
      <c r="D5" s="137" t="s">
        <v>174</v>
      </c>
    </row>
    <row r="6" spans="1:4" ht="253.5" customHeight="1" x14ac:dyDescent="0.25">
      <c r="A6" s="66" t="s">
        <v>75</v>
      </c>
      <c r="B6" s="61">
        <v>1</v>
      </c>
      <c r="C6" s="64">
        <v>3291319</v>
      </c>
      <c r="D6" s="62" t="s">
        <v>175</v>
      </c>
    </row>
    <row r="7" spans="1:4" ht="121.5" customHeight="1" x14ac:dyDescent="0.25">
      <c r="A7" s="139" t="s">
        <v>87</v>
      </c>
      <c r="B7" s="135">
        <v>1</v>
      </c>
      <c r="C7" s="140">
        <v>1093093</v>
      </c>
      <c r="D7" s="137" t="s">
        <v>176</v>
      </c>
    </row>
    <row r="8" spans="1:4" ht="186.75" customHeight="1" x14ac:dyDescent="0.25">
      <c r="A8" s="67" t="s">
        <v>97</v>
      </c>
      <c r="B8" s="61">
        <v>1</v>
      </c>
      <c r="C8" s="141">
        <v>4629112</v>
      </c>
      <c r="D8" s="62" t="s">
        <v>177</v>
      </c>
    </row>
    <row r="9" spans="1:4" ht="209.25" customHeight="1" x14ac:dyDescent="0.25">
      <c r="A9" s="142" t="s">
        <v>105</v>
      </c>
      <c r="B9" s="135">
        <v>1</v>
      </c>
      <c r="C9" s="136">
        <v>4353000</v>
      </c>
      <c r="D9" s="137" t="s">
        <v>178</v>
      </c>
    </row>
    <row r="10" spans="1:4" ht="199.5" customHeight="1" x14ac:dyDescent="0.25">
      <c r="A10" s="67" t="s">
        <v>114</v>
      </c>
      <c r="B10" s="61">
        <v>1</v>
      </c>
      <c r="C10" s="143">
        <v>3800000</v>
      </c>
      <c r="D10" s="62" t="s">
        <v>179</v>
      </c>
    </row>
    <row r="11" spans="1:4" ht="156.75" customHeight="1" thickBot="1" x14ac:dyDescent="0.3">
      <c r="A11" s="139" t="s">
        <v>123</v>
      </c>
      <c r="B11" s="144">
        <v>1</v>
      </c>
      <c r="C11" s="145">
        <v>154900</v>
      </c>
      <c r="D11" s="14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servidor local</vt:lpstr>
      <vt:lpstr>servidr externo-cloud</vt:lpstr>
      <vt:lpstr>elementos fisicos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Jhair Julian Sarmiento Ramos</cp:lastModifiedBy>
  <dcterms:created xsi:type="dcterms:W3CDTF">2025-11-28T19:24:28Z</dcterms:created>
  <dcterms:modified xsi:type="dcterms:W3CDTF">2025-11-30T01:18:43Z</dcterms:modified>
</cp:coreProperties>
</file>